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4593291-BEF3-4450-AC0C-2AD596F95604}" xr6:coauthVersionLast="47" xr6:coauthVersionMax="47" xr10:uidLastSave="{00000000-0000-0000-0000-000000000000}"/>
  <bookViews>
    <workbookView xWindow="-120" yWindow="-120" windowWidth="19440" windowHeight="10440" xr2:uid="{F523B89F-1A3C-4AB9-8F95-82656FB76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B28" i="1"/>
  <c r="B27" i="1"/>
  <c r="AA2" i="1" a="1"/>
  <c r="AA2" i="1" s="1"/>
  <c r="S2" i="1" a="1"/>
  <c r="S2" i="1" s="1"/>
  <c r="J2" i="1" a="1"/>
  <c r="J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<sst xmlns="http://schemas.openxmlformats.org/spreadsheetml/2006/main" count="118" uniqueCount="65">
  <si>
    <t>Patient_ID</t>
  </si>
  <si>
    <t>Age</t>
  </si>
  <si>
    <t>Gender</t>
  </si>
  <si>
    <t>Visit_Date</t>
  </si>
  <si>
    <t>Department</t>
  </si>
  <si>
    <t>Diagnosis</t>
  </si>
  <si>
    <t>Consultation_Fee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</si>
  <si>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</si>
  <si>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</si>
  <si>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</si>
  <si>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</si>
  <si>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</si>
  <si>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</si>
  <si>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</si>
  <si>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</si>
  <si>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</si>
  <si>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</si>
  <si>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</si>
  <si>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</si>
  <si>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</si>
  <si>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</si>
  <si>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</si>
  <si>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</si>
  <si>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</si>
  <si>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</si>
  <si>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</si>
  <si>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</si>
  <si>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M</t>
  </si>
  <si>
    <t>F</t>
  </si>
  <si>
    <t>13/7/2025</t>
  </si>
  <si>
    <t>16/7/2025</t>
  </si>
  <si>
    <t>23/7/2025</t>
  </si>
  <si>
    <t>23/11/2025</t>
  </si>
  <si>
    <t>17/9/2025</t>
  </si>
  <si>
    <t>Internal Medicine</t>
  </si>
  <si>
    <t>Neurology</t>
  </si>
  <si>
    <t>Psychiatry</t>
  </si>
  <si>
    <t>Migraine</t>
  </si>
  <si>
    <t>Tension Headache</t>
  </si>
  <si>
    <t>Stroke</t>
  </si>
  <si>
    <t>Epilepsy</t>
  </si>
  <si>
    <t xml:space="preserve">  </t>
  </si>
  <si>
    <t xml:space="preserve"> </t>
  </si>
  <si>
    <t>OCD</t>
  </si>
  <si>
    <t>Myocardial Infarction</t>
  </si>
  <si>
    <t>Pneumonia</t>
  </si>
  <si>
    <t>COPD</t>
  </si>
  <si>
    <t>Asthma</t>
  </si>
  <si>
    <t>Alchohol Dependancy</t>
  </si>
  <si>
    <t>Substance Abuse</t>
  </si>
  <si>
    <t>Schizophrenia</t>
  </si>
  <si>
    <t>13/3/2025</t>
  </si>
  <si>
    <t>14/8/2025</t>
  </si>
  <si>
    <t>18/10/2025</t>
  </si>
  <si>
    <t>16/9/2025</t>
  </si>
  <si>
    <t>13/8/2025</t>
  </si>
  <si>
    <t>30/10/2025</t>
  </si>
  <si>
    <t>15/9/2025</t>
  </si>
  <si>
    <t>Sorted Department:</t>
  </si>
  <si>
    <t>Sorted Age:</t>
  </si>
  <si>
    <t xml:space="preserve">Sorted Diagnosis: </t>
  </si>
  <si>
    <t>Revenue</t>
  </si>
  <si>
    <t>Total Revenue:</t>
  </si>
  <si>
    <t xml:space="preserve">Average Consultation prices: </t>
  </si>
  <si>
    <t>Total Cases of Diagnosis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</si>
</sst>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14" fontId="0" fillId="0" borderId="0" xfId="0" applyNumberFormat="1"/>
    <xf numFmtId="16" fontId="0" fillId="0" borderId="0" xfId="0" applyNumberFormat="1"/>
    <xf numFmtId="14" fontId="0" fillId="0" borderId="0" xfId="0" applyNumberFormat="1" applyAlignment="1"/>
    <xf numFmtId="0" fontId="0" fillId="2" borderId="1" xfId="0" applyFont="1" applyFill="1" applyBorder="1"/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2">
    <dxf>
      <font>
        <b/>
      </font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C35EF5-E7A8-4768-8502-FD521FF679E5}" name="Table1" displayName="Table1" ref="A1:H21" totalsRowShown="0" headerRowDxfId="0">
  <autoFilter ref="A1:H21" xr:uid="{4CC35EF5-E7A8-4768-8502-FD521FF679E5}"/>
  <tableColumns count="8">
    <tableColumn id="1" xr3:uid="{8E3B0AEB-3CFC-4469-A1DE-E92541372038}" name="Patient_ID"/>
    <tableColumn id="2" xr3:uid="{667BB45F-4EC8-4836-8428-7B08872A0682}" name="Age" dataDxfId="1"/>
    <tableColumn id="3" xr3:uid="{6965D7B2-77D6-462A-8716-EDE8056FC91C}" name="Gender"/>
    <tableColumn id="4" xr3:uid="{94A18470-26B5-42F3-8464-E4459D494B99}" name="Visit_Date"/>
    <tableColumn id="5" xr3:uid="{D4218FFB-D473-4277-B38A-B4ED06CEB586}" name="Department"/>
    <tableColumn id="6" xr3:uid="{B304BF8E-8165-4936-8AB4-A7F4BFB86C71}" name="Diagnosis"/>
    <tableColumn id="7" xr3:uid="{017C6A38-7DB9-44D2-A919-CF53CB739ADE}" name="Consultation_Fee"/>
    <tableColumn id="8" xr3:uid="{1FB63A93-2988-4290-8EBA-2CB3110C9DEC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15864-0DBA-4CC8-89A7-9369DEA08621}">
  <dimension ref="A1:AH30"/>
  <sheetViews>
    <sheetView tabSelected="1" zoomScale="80" zoomScaleNormal="80" workbookViewId="0">
      <selection activeCell="K19" sqref="K19"/>
    </sheetView>
  </sheetViews>
  <sheetFormatPr defaultRowHeight="15" x14ac:dyDescent="0.25"/>
  <cols>
    <col min="1" max="1" width="27" bestFit="1" customWidth="1"/>
    <col min="2" max="2" width="9.28515625" style="1" bestFit="1" customWidth="1"/>
    <col min="3" max="3" width="9.85546875" customWidth="1"/>
    <col min="4" max="4" width="12.28515625" customWidth="1"/>
    <col min="5" max="5" width="16.42578125" bestFit="1" customWidth="1"/>
    <col min="6" max="6" width="20.42578125" bestFit="1" customWidth="1"/>
    <col min="7" max="7" width="19" customWidth="1"/>
    <col min="10" max="10" width="19.140625" bestFit="1" customWidth="1"/>
    <col min="11" max="11" width="16.85546875" bestFit="1" customWidth="1"/>
    <col min="12" max="12" width="2.85546875" bestFit="1" customWidth="1"/>
    <col min="13" max="13" width="10.140625" bestFit="1" customWidth="1"/>
    <col min="14" max="14" width="16.5703125" bestFit="1" customWidth="1"/>
    <col min="15" max="15" width="20.140625" bestFit="1" customWidth="1"/>
    <col min="16" max="16" width="4.42578125" bestFit="1" customWidth="1"/>
    <col min="19" max="19" width="11.28515625" bestFit="1" customWidth="1"/>
    <col min="20" max="20" width="3.42578125" bestFit="1" customWidth="1"/>
    <col min="21" max="21" width="2.85546875" bestFit="1" customWidth="1"/>
    <col min="22" max="22" width="11.28515625" bestFit="1" customWidth="1"/>
    <col min="23" max="23" width="16.5703125" bestFit="1" customWidth="1"/>
    <col min="24" max="24" width="20.42578125" bestFit="1" customWidth="1"/>
    <col min="25" max="25" width="4.42578125" bestFit="1" customWidth="1"/>
    <col min="27" max="27" width="17.5703125" bestFit="1" customWidth="1"/>
  </cols>
  <sheetData>
    <row r="1" spans="1:34" s="6" customFormat="1" x14ac:dyDescent="0.2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61</v>
      </c>
      <c r="J1" s="6" t="s">
        <v>58</v>
      </c>
      <c r="K1" s="6" t="s">
        <v>34</v>
      </c>
      <c r="S1" s="6" t="s">
        <v>59</v>
      </c>
      <c r="T1" s="6">
        <v>30</v>
      </c>
      <c r="U1"/>
      <c r="V1"/>
      <c r="W1"/>
      <c r="X1"/>
      <c r="Y1"/>
      <c r="AA1" s="6" t="s">
        <v>60</v>
      </c>
      <c r="AB1" s="6" t="s">
        <v>43</v>
      </c>
    </row>
    <row r="2" spans="1:34" x14ac:dyDescent="0.25">
      <c r="A2" t="s">
        <v>7</v>
      </c>
      <c r="B2" s="1">
        <v>18</v>
      </c>
      <c r="C2" t="s">
        <v>27</v>
      </c>
      <c r="D2" s="2">
        <v>45937</v>
      </c>
      <c r="E2" t="s">
        <v>34</v>
      </c>
      <c r="F2" t="s">
        <v>44</v>
      </c>
      <c r="G2">
        <v>300</v>
      </c>
      <c r="H2">
        <v>55000</v>
      </c>
      <c r="J2" t="str" cm="1">
        <f t="array" ref="J2:Q6">_xlfn._xlws.FILTER(Table1[], Table1[Department]=K1, not found)</f>
        <v>P001</v>
      </c>
      <c r="K2">
        <v>18</v>
      </c>
      <c r="L2" t="str">
        <v>M</v>
      </c>
      <c r="M2">
        <v>45937</v>
      </c>
      <c r="N2" t="str">
        <v>Internal Medicine</v>
      </c>
      <c r="O2" t="str">
        <v>Myocardial Infarction</v>
      </c>
      <c r="P2">
        <v>300</v>
      </c>
      <c r="Q2">
        <v>55000</v>
      </c>
      <c r="S2" t="str" cm="1">
        <f t="array" ref="S2:Z14">_xlfn._xlws.FILTER(Table1[], VALUE(Table1[Age])&gt;=T1, "Not found")</f>
        <v>P005</v>
      </c>
      <c r="T2">
        <v>56</v>
      </c>
      <c r="U2" t="str">
        <v>M</v>
      </c>
      <c r="V2" t="str">
        <v>15/9/2025</v>
      </c>
      <c r="W2" t="str">
        <v>Internal Medicine</v>
      </c>
      <c r="X2" t="str">
        <v>Asthma</v>
      </c>
      <c r="Y2">
        <v>300</v>
      </c>
      <c r="Z2">
        <v>2626</v>
      </c>
      <c r="AA2" t="str" cm="1">
        <f t="array" ref="AA2:AH4">_xlfn._xlws.FILTER(Table1[], Table1[Diagnosis]=AB1, "Not Found")</f>
        <v>P006</v>
      </c>
      <c r="AB2">
        <v>45</v>
      </c>
      <c r="AC2" t="str">
        <v>F</v>
      </c>
      <c r="AD2" t="str">
        <v>30/10/2025</v>
      </c>
      <c r="AE2" t="str">
        <v>Psychiatry</v>
      </c>
      <c r="AF2" t="str">
        <v>OCD</v>
      </c>
      <c r="AG2">
        <v>500</v>
      </c>
      <c r="AH2">
        <v>48445</v>
      </c>
    </row>
    <row r="3" spans="1:34" x14ac:dyDescent="0.25">
      <c r="A3" t="s">
        <v>8</v>
      </c>
      <c r="B3" s="1">
        <v>23</v>
      </c>
      <c r="C3" t="s">
        <v>28</v>
      </c>
      <c r="D3" s="3" t="s">
        <v>29</v>
      </c>
      <c r="E3" t="s">
        <v>34</v>
      </c>
      <c r="F3" t="s">
        <v>45</v>
      </c>
      <c r="G3">
        <v>700</v>
      </c>
      <c r="H3">
        <v>8954</v>
      </c>
      <c r="J3" t="str">
        <v>P002</v>
      </c>
      <c r="K3">
        <v>23</v>
      </c>
      <c r="L3" t="str">
        <v>F</v>
      </c>
      <c r="M3" t="str">
        <v>13/7/2025</v>
      </c>
      <c r="N3" t="str">
        <v>Internal Medicine</v>
      </c>
      <c r="O3" t="str">
        <v>Pneumonia</v>
      </c>
      <c r="P3">
        <v>700</v>
      </c>
      <c r="Q3">
        <v>8954</v>
      </c>
      <c r="S3" t="str">
        <v>P006</v>
      </c>
      <c r="T3">
        <v>45</v>
      </c>
      <c r="U3" t="str">
        <v>F</v>
      </c>
      <c r="V3" t="str">
        <v>30/10/2025</v>
      </c>
      <c r="W3" t="str">
        <v>Psychiatry</v>
      </c>
      <c r="X3" t="str">
        <v>OCD</v>
      </c>
      <c r="Y3">
        <v>500</v>
      </c>
      <c r="Z3">
        <v>48445</v>
      </c>
      <c r="AA3" t="str">
        <v>P010</v>
      </c>
      <c r="AB3">
        <v>52</v>
      </c>
      <c r="AC3" t="str">
        <v>F</v>
      </c>
      <c r="AD3" t="str">
        <v>13/8/2025</v>
      </c>
      <c r="AE3" t="str">
        <v>Psychiatry</v>
      </c>
      <c r="AF3" t="str">
        <v>OCD</v>
      </c>
      <c r="AG3">
        <v>500</v>
      </c>
      <c r="AH3">
        <v>2154484</v>
      </c>
    </row>
    <row r="4" spans="1:34" x14ac:dyDescent="0.25">
      <c r="A4" t="s">
        <v>9</v>
      </c>
      <c r="B4" s="1">
        <v>22</v>
      </c>
      <c r="C4" t="s">
        <v>27</v>
      </c>
      <c r="D4" t="s">
        <v>30</v>
      </c>
      <c r="E4" t="s">
        <v>34</v>
      </c>
      <c r="F4" t="s">
        <v>46</v>
      </c>
      <c r="G4">
        <v>500</v>
      </c>
      <c r="H4">
        <v>95304</v>
      </c>
      <c r="J4" t="str">
        <v>P003</v>
      </c>
      <c r="K4">
        <v>22</v>
      </c>
      <c r="L4" t="str">
        <v>M</v>
      </c>
      <c r="M4" t="str">
        <v>16/7/2025</v>
      </c>
      <c r="N4" t="str">
        <v>Internal Medicine</v>
      </c>
      <c r="O4" t="str">
        <v>COPD</v>
      </c>
      <c r="P4">
        <v>500</v>
      </c>
      <c r="Q4">
        <v>95304</v>
      </c>
      <c r="S4" t="str">
        <v>P007</v>
      </c>
      <c r="T4">
        <v>76</v>
      </c>
      <c r="U4" t="str">
        <v>F</v>
      </c>
      <c r="V4" t="str">
        <v>23/11/2025</v>
      </c>
      <c r="W4" t="str">
        <v>Psychiatry</v>
      </c>
      <c r="X4" t="str">
        <v>Alchohol Dependancy</v>
      </c>
      <c r="Y4">
        <v>500</v>
      </c>
      <c r="Z4">
        <v>7845</v>
      </c>
      <c r="AA4" t="str">
        <v>P011</v>
      </c>
      <c r="AB4">
        <v>63</v>
      </c>
      <c r="AC4" t="str">
        <v>F</v>
      </c>
      <c r="AD4" t="str">
        <v>13/7/2025</v>
      </c>
      <c r="AE4" t="str">
        <v>Psychiatry</v>
      </c>
      <c r="AF4" t="str">
        <v>OCD</v>
      </c>
      <c r="AG4">
        <v>900</v>
      </c>
      <c r="AH4">
        <v>32147</v>
      </c>
    </row>
    <row r="5" spans="1:34" x14ac:dyDescent="0.25">
      <c r="A5" t="s">
        <v>10</v>
      </c>
      <c r="B5" s="1">
        <v>29</v>
      </c>
      <c r="C5" t="s">
        <v>27</v>
      </c>
      <c r="D5" t="s">
        <v>31</v>
      </c>
      <c r="E5" t="s">
        <v>34</v>
      </c>
      <c r="F5" t="s">
        <v>46</v>
      </c>
      <c r="G5">
        <v>800</v>
      </c>
      <c r="H5">
        <v>89987</v>
      </c>
      <c r="J5" t="str">
        <v>P004</v>
      </c>
      <c r="K5">
        <v>29</v>
      </c>
      <c r="L5" t="str">
        <v>M</v>
      </c>
      <c r="M5" t="str">
        <v>23/7/2025</v>
      </c>
      <c r="N5" t="str">
        <v>Internal Medicine</v>
      </c>
      <c r="O5" t="str">
        <v>COPD</v>
      </c>
      <c r="P5">
        <v>800</v>
      </c>
      <c r="Q5">
        <v>89987</v>
      </c>
      <c r="S5" t="str">
        <v>P008</v>
      </c>
      <c r="T5">
        <v>32</v>
      </c>
      <c r="U5" t="str">
        <v>M</v>
      </c>
      <c r="V5" t="str">
        <v>17/9/2025</v>
      </c>
      <c r="W5" t="str">
        <v>Psychiatry</v>
      </c>
      <c r="X5" t="str">
        <v>Substance Abuse</v>
      </c>
      <c r="Y5">
        <v>500</v>
      </c>
      <c r="Z5">
        <v>32148</v>
      </c>
    </row>
    <row r="6" spans="1:34" x14ac:dyDescent="0.25">
      <c r="A6" t="s">
        <v>11</v>
      </c>
      <c r="B6" s="1">
        <v>56</v>
      </c>
      <c r="C6" t="s">
        <v>27</v>
      </c>
      <c r="D6" s="4" t="s">
        <v>57</v>
      </c>
      <c r="E6" t="s">
        <v>34</v>
      </c>
      <c r="F6" t="s">
        <v>47</v>
      </c>
      <c r="G6">
        <v>300</v>
      </c>
      <c r="H6">
        <v>2626</v>
      </c>
      <c r="J6" t="str">
        <v>P005</v>
      </c>
      <c r="K6">
        <v>56</v>
      </c>
      <c r="L6" t="str">
        <v>M</v>
      </c>
      <c r="M6" t="str">
        <v>15/9/2025</v>
      </c>
      <c r="N6" t="str">
        <v>Internal Medicine</v>
      </c>
      <c r="O6" t="str">
        <v>Asthma</v>
      </c>
      <c r="P6">
        <v>300</v>
      </c>
      <c r="Q6">
        <v>2626</v>
      </c>
      <c r="S6" t="str">
        <v>P009</v>
      </c>
      <c r="T6">
        <v>37</v>
      </c>
      <c r="U6" t="str">
        <v>M</v>
      </c>
      <c r="V6" t="str">
        <v>16/9/2025</v>
      </c>
      <c r="W6" t="str">
        <v>Psychiatry</v>
      </c>
      <c r="X6" t="str">
        <v>Schizophrenia</v>
      </c>
      <c r="Y6">
        <v>500</v>
      </c>
      <c r="Z6">
        <v>20</v>
      </c>
    </row>
    <row r="7" spans="1:34" x14ac:dyDescent="0.25">
      <c r="A7" t="s">
        <v>12</v>
      </c>
      <c r="B7" s="1">
        <v>45</v>
      </c>
      <c r="C7" t="s">
        <v>28</v>
      </c>
      <c r="D7" s="2" t="s">
        <v>56</v>
      </c>
      <c r="E7" t="s">
        <v>36</v>
      </c>
      <c r="F7" t="s">
        <v>43</v>
      </c>
      <c r="G7">
        <v>500</v>
      </c>
      <c r="H7">
        <v>48445</v>
      </c>
      <c r="S7" t="str">
        <v>P010</v>
      </c>
      <c r="T7">
        <v>52</v>
      </c>
      <c r="U7" t="str">
        <v>F</v>
      </c>
      <c r="V7" t="str">
        <v>13/8/2025</v>
      </c>
      <c r="W7" t="str">
        <v>Psychiatry</v>
      </c>
      <c r="X7" t="str">
        <v>OCD</v>
      </c>
      <c r="Y7">
        <v>500</v>
      </c>
      <c r="Z7">
        <v>2154484</v>
      </c>
    </row>
    <row r="8" spans="1:34" x14ac:dyDescent="0.25">
      <c r="A8" t="s">
        <v>13</v>
      </c>
      <c r="B8" s="1">
        <v>76</v>
      </c>
      <c r="C8" t="s">
        <v>28</v>
      </c>
      <c r="D8" t="s">
        <v>32</v>
      </c>
      <c r="E8" t="s">
        <v>36</v>
      </c>
      <c r="F8" t="s">
        <v>48</v>
      </c>
      <c r="G8">
        <v>500</v>
      </c>
      <c r="H8">
        <v>7845</v>
      </c>
      <c r="S8" t="str">
        <v>P011</v>
      </c>
      <c r="T8">
        <v>63</v>
      </c>
      <c r="U8" t="str">
        <v>F</v>
      </c>
      <c r="V8" t="str">
        <v>13/7/2025</v>
      </c>
      <c r="W8" t="str">
        <v>Psychiatry</v>
      </c>
      <c r="X8" t="str">
        <v>OCD</v>
      </c>
      <c r="Y8">
        <v>900</v>
      </c>
      <c r="Z8">
        <v>32147</v>
      </c>
    </row>
    <row r="9" spans="1:34" x14ac:dyDescent="0.25">
      <c r="A9" t="s">
        <v>14</v>
      </c>
      <c r="B9" s="1">
        <v>32</v>
      </c>
      <c r="C9" t="s">
        <v>27</v>
      </c>
      <c r="D9" t="s">
        <v>33</v>
      </c>
      <c r="E9" t="s">
        <v>36</v>
      </c>
      <c r="F9" t="s">
        <v>49</v>
      </c>
      <c r="G9">
        <v>500</v>
      </c>
      <c r="H9">
        <v>32148</v>
      </c>
      <c r="S9" t="str">
        <v>P012</v>
      </c>
      <c r="T9">
        <v>74</v>
      </c>
      <c r="U9" t="str">
        <v>M</v>
      </c>
      <c r="V9" t="str">
        <v>16/7/2025</v>
      </c>
      <c r="W9" t="str">
        <v>Neurology</v>
      </c>
      <c r="X9" t="str">
        <v>Migraine</v>
      </c>
      <c r="Y9">
        <v>600</v>
      </c>
      <c r="Z9">
        <v>998874</v>
      </c>
    </row>
    <row r="10" spans="1:34" x14ac:dyDescent="0.25">
      <c r="A10" t="s">
        <v>15</v>
      </c>
      <c r="B10" s="1">
        <v>37</v>
      </c>
      <c r="C10" t="s">
        <v>27</v>
      </c>
      <c r="D10" s="2" t="s">
        <v>54</v>
      </c>
      <c r="E10" t="s">
        <v>36</v>
      </c>
      <c r="F10" t="s">
        <v>50</v>
      </c>
      <c r="G10">
        <v>500</v>
      </c>
      <c r="H10">
        <v>20</v>
      </c>
      <c r="S10" t="str">
        <v>P014</v>
      </c>
      <c r="T10">
        <v>39</v>
      </c>
      <c r="U10" t="str">
        <v>M</v>
      </c>
      <c r="V10" t="str">
        <v>13/3/2025</v>
      </c>
      <c r="W10" t="str">
        <v>Neurology</v>
      </c>
      <c r="X10" t="str">
        <v>Epilepsy</v>
      </c>
      <c r="Y10">
        <v>300</v>
      </c>
      <c r="Z10">
        <v>121515</v>
      </c>
    </row>
    <row r="11" spans="1:34" x14ac:dyDescent="0.25">
      <c r="A11" t="s">
        <v>16</v>
      </c>
      <c r="B11" s="1">
        <v>52</v>
      </c>
      <c r="C11" t="s">
        <v>28</v>
      </c>
      <c r="D11" s="2" t="s">
        <v>55</v>
      </c>
      <c r="E11" t="s">
        <v>36</v>
      </c>
      <c r="F11" t="s">
        <v>43</v>
      </c>
      <c r="G11">
        <v>500</v>
      </c>
      <c r="H11">
        <v>2154484</v>
      </c>
      <c r="S11" t="str">
        <v>P015</v>
      </c>
      <c r="T11">
        <v>78</v>
      </c>
      <c r="U11" t="str">
        <v>F</v>
      </c>
      <c r="V11" t="str">
        <v>14/8/2025</v>
      </c>
      <c r="W11" t="str">
        <v>Neurology</v>
      </c>
      <c r="X11" t="str">
        <v>Stroke</v>
      </c>
      <c r="Y11">
        <v>500</v>
      </c>
      <c r="Z11">
        <v>1</v>
      </c>
    </row>
    <row r="12" spans="1:34" x14ac:dyDescent="0.25">
      <c r="A12" t="s">
        <v>17</v>
      </c>
      <c r="B12" s="1">
        <v>63</v>
      </c>
      <c r="C12" t="s">
        <v>28</v>
      </c>
      <c r="D12" s="3" t="s">
        <v>29</v>
      </c>
      <c r="E12" t="s">
        <v>36</v>
      </c>
      <c r="F12" t="s">
        <v>43</v>
      </c>
      <c r="G12">
        <v>900</v>
      </c>
      <c r="H12">
        <v>32147</v>
      </c>
      <c r="S12" t="str">
        <v>P016</v>
      </c>
      <c r="T12">
        <v>37</v>
      </c>
      <c r="U12" t="str">
        <v>M</v>
      </c>
      <c r="V12" t="str">
        <v>23/11/2025</v>
      </c>
      <c r="W12" t="str">
        <v>Neurology</v>
      </c>
      <c r="X12" t="str">
        <v>Tension Headache</v>
      </c>
      <c r="Y12">
        <v>700</v>
      </c>
      <c r="Z12">
        <v>965478</v>
      </c>
    </row>
    <row r="13" spans="1:34" x14ac:dyDescent="0.25">
      <c r="A13" t="s">
        <v>18</v>
      </c>
      <c r="B13" s="1">
        <v>74</v>
      </c>
      <c r="C13" t="s">
        <v>27</v>
      </c>
      <c r="D13" t="s">
        <v>30</v>
      </c>
      <c r="E13" t="s">
        <v>35</v>
      </c>
      <c r="F13" t="s">
        <v>37</v>
      </c>
      <c r="G13">
        <v>600</v>
      </c>
      <c r="H13">
        <v>998874</v>
      </c>
      <c r="S13" t="str">
        <v>P017</v>
      </c>
      <c r="T13">
        <v>66</v>
      </c>
      <c r="U13" t="str">
        <v>M</v>
      </c>
      <c r="V13" t="str">
        <v>18/10/2025</v>
      </c>
      <c r="W13" t="str">
        <v>Neurology</v>
      </c>
      <c r="X13" t="str">
        <v>Stroke</v>
      </c>
      <c r="Y13">
        <v>600</v>
      </c>
      <c r="Z13">
        <v>214544</v>
      </c>
    </row>
    <row r="14" spans="1:34" x14ac:dyDescent="0.25">
      <c r="A14" t="s">
        <v>19</v>
      </c>
      <c r="B14" s="1">
        <v>20</v>
      </c>
      <c r="C14" t="s">
        <v>28</v>
      </c>
      <c r="D14" t="s">
        <v>31</v>
      </c>
      <c r="E14" t="s">
        <v>35</v>
      </c>
      <c r="F14" t="s">
        <v>38</v>
      </c>
      <c r="G14">
        <v>300</v>
      </c>
      <c r="H14">
        <v>20154</v>
      </c>
      <c r="S14" t="str">
        <v>P020</v>
      </c>
      <c r="T14">
        <v>49</v>
      </c>
      <c r="U14" t="str">
        <v>M</v>
      </c>
      <c r="V14" t="str">
        <v>23/7/2025</v>
      </c>
      <c r="W14" t="str">
        <v>Neurology</v>
      </c>
      <c r="X14" t="str">
        <v>Epilepsy</v>
      </c>
      <c r="Y14">
        <v>700</v>
      </c>
      <c r="Z14">
        <v>56464</v>
      </c>
    </row>
    <row r="15" spans="1:34" x14ac:dyDescent="0.25">
      <c r="A15" t="s">
        <v>20</v>
      </c>
      <c r="B15" s="1">
        <v>39</v>
      </c>
      <c r="C15" t="s">
        <v>27</v>
      </c>
      <c r="D15" s="4" t="s">
        <v>51</v>
      </c>
      <c r="E15" t="s">
        <v>35</v>
      </c>
      <c r="F15" t="s">
        <v>40</v>
      </c>
      <c r="G15">
        <v>300</v>
      </c>
      <c r="H15">
        <v>121515</v>
      </c>
    </row>
    <row r="16" spans="1:34" x14ac:dyDescent="0.25">
      <c r="A16" t="s">
        <v>21</v>
      </c>
      <c r="B16" s="1">
        <v>78</v>
      </c>
      <c r="C16" t="s">
        <v>28</v>
      </c>
      <c r="D16" s="2" t="s">
        <v>52</v>
      </c>
      <c r="E16" t="s">
        <v>35</v>
      </c>
      <c r="F16" t="s">
        <v>39</v>
      </c>
      <c r="G16">
        <v>500</v>
      </c>
      <c r="H16">
        <v>1</v>
      </c>
    </row>
    <row r="17" spans="1:13" x14ac:dyDescent="0.25">
      <c r="A17" t="s">
        <v>22</v>
      </c>
      <c r="B17" s="1">
        <v>37</v>
      </c>
      <c r="C17" t="s">
        <v>27</v>
      </c>
      <c r="D17" t="s">
        <v>32</v>
      </c>
      <c r="E17" t="s">
        <v>35</v>
      </c>
      <c r="F17" t="s">
        <v>38</v>
      </c>
      <c r="G17">
        <v>700</v>
      </c>
      <c r="H17">
        <v>965478</v>
      </c>
    </row>
    <row r="18" spans="1:13" x14ac:dyDescent="0.25">
      <c r="A18" t="s">
        <v>23</v>
      </c>
      <c r="B18" s="1">
        <v>66</v>
      </c>
      <c r="C18" t="s">
        <v>27</v>
      </c>
      <c r="D18" s="2" t="s">
        <v>53</v>
      </c>
      <c r="E18" t="s">
        <v>35</v>
      </c>
      <c r="F18" t="s">
        <v>39</v>
      </c>
      <c r="G18">
        <v>600</v>
      </c>
      <c r="H18">
        <v>214544</v>
      </c>
    </row>
    <row r="19" spans="1:13" x14ac:dyDescent="0.25">
      <c r="A19" t="s">
        <v>24</v>
      </c>
      <c r="B19" s="1">
        <v>22</v>
      </c>
      <c r="C19" t="s">
        <v>27</v>
      </c>
      <c r="D19" s="3" t="s">
        <v>29</v>
      </c>
      <c r="E19" t="s">
        <v>35</v>
      </c>
      <c r="F19" t="s">
        <v>39</v>
      </c>
      <c r="G19">
        <v>500</v>
      </c>
      <c r="H19">
        <v>2184</v>
      </c>
    </row>
    <row r="20" spans="1:13" x14ac:dyDescent="0.25">
      <c r="A20" t="s">
        <v>25</v>
      </c>
      <c r="B20" s="1">
        <v>24</v>
      </c>
      <c r="C20" t="s">
        <v>27</v>
      </c>
      <c r="D20" t="s">
        <v>30</v>
      </c>
      <c r="E20" t="s">
        <v>35</v>
      </c>
      <c r="F20" t="s">
        <v>39</v>
      </c>
      <c r="G20">
        <v>600</v>
      </c>
      <c r="H20">
        <v>7865</v>
      </c>
      <c r="J20" t="s">
        <v>41</v>
      </c>
      <c r="M20" t="s">
        <v>42</v>
      </c>
    </row>
    <row r="21" spans="1:13" x14ac:dyDescent="0.25">
      <c r="A21" t="s">
        <v>26</v>
      </c>
      <c r="B21" s="1">
        <v>49</v>
      </c>
      <c r="C21" t="s">
        <v>27</v>
      </c>
      <c r="D21" t="s">
        <v>31</v>
      </c>
      <c r="E21" t="s">
        <v>35</v>
      </c>
      <c r="F21" t="s">
        <v>40</v>
      </c>
      <c r="G21">
        <v>700</v>
      </c>
      <c r="H21">
        <v>56464</v>
      </c>
    </row>
    <row r="27" spans="1:13" x14ac:dyDescent="0.25">
      <c r="A27" t="s">
        <v>62</v>
      </c>
      <c r="B27" s="5">
        <f>SUM(H2:H21)</f>
        <v>4914039</v>
      </c>
    </row>
    <row r="28" spans="1:13" x14ac:dyDescent="0.25">
      <c r="A28" t="s">
        <v>63</v>
      </c>
      <c r="B28" s="1">
        <f>AVERAGE(G2:G21)</f>
        <v>540</v>
      </c>
    </row>
    <row r="30" spans="1:13" x14ac:dyDescent="0.25">
      <c r="A30" t="s">
        <v>64</v>
      </c>
      <c r="B30" s="1" t="s">
        <v>43</v>
      </c>
      <c r="C30">
        <f>COUNTIF(F2:F21, B30)</f>
        <v>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Kashif</dc:creator>
  <cp:lastModifiedBy>Mohammad Kashif</cp:lastModifiedBy>
  <dcterms:created xsi:type="dcterms:W3CDTF">2025-12-13T16:40:13Z</dcterms:created>
  <dcterms:modified xsi:type="dcterms:W3CDTF">2025-12-14T20:13:16Z</dcterms:modified>
</cp:coreProperties>
</file>