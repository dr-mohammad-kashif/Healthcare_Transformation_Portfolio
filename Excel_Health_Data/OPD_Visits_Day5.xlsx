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87F63C3-D2F2-4196-9B7E-DFB1CB458E76}" xr6:coauthVersionLast="47" xr6:coauthVersionMax="47" xr10:uidLastSave="{00000000-0000-0000-0000-000000000000}"/>
  <bookViews>
    <workbookView xWindow="-120" yWindow="-120" windowWidth="19440" windowHeight="10440" activeTab="2" xr2:uid="{00000000-000D-0000-FFFF-FFFF00000000}"/>
  </bookViews>
  <sheets>
    <sheet name="OPD_Visits" sheetId="1" r:id="rId1"/>
    <sheet name="Day4_2_Instructions" sheetId="2" r:id="rId2"/>
    <sheet name="Avg_Age_By_Provider_Exce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I26" i="1" s="1"/>
  <c r="D25" i="1"/>
  <c r="I25" i="1" s="1"/>
  <c r="D24" i="1"/>
  <c r="I24" i="1" s="1"/>
  <c r="D23" i="1"/>
  <c r="I23" i="1" s="1"/>
  <c r="D22" i="1"/>
  <c r="I22" i="1" s="1"/>
  <c r="D21" i="1"/>
  <c r="I21" i="1" s="1"/>
  <c r="D20" i="1"/>
  <c r="I20" i="1" s="1"/>
  <c r="D19" i="1"/>
  <c r="I19" i="1" s="1"/>
  <c r="D18" i="1"/>
  <c r="I18" i="1" s="1"/>
  <c r="D17" i="1"/>
  <c r="I17" i="1" s="1"/>
  <c r="D16" i="1"/>
  <c r="I16" i="1" s="1"/>
  <c r="D15" i="1"/>
  <c r="I15" i="1" s="1"/>
  <c r="D14" i="1"/>
  <c r="I14" i="1" s="1"/>
  <c r="D13" i="1"/>
  <c r="I13" i="1" s="1"/>
  <c r="D12" i="1"/>
  <c r="I12" i="1" s="1"/>
  <c r="D11" i="1"/>
  <c r="I11" i="1" s="1"/>
  <c r="D10" i="1"/>
  <c r="I10" i="1" s="1"/>
  <c r="D9" i="1"/>
  <c r="I9" i="1" s="1"/>
  <c r="D8" i="1"/>
  <c r="I8" i="1" s="1"/>
  <c r="D7" i="1"/>
  <c r="I7" i="1" s="1"/>
  <c r="D6" i="1"/>
  <c r="I6" i="1" s="1"/>
  <c r="D5" i="1"/>
  <c r="I5" i="1" s="1"/>
  <c r="D4" i="1"/>
  <c r="I4" i="1" s="1"/>
  <c r="D3" i="1"/>
  <c r="I3" i="1" s="1"/>
  <c r="D2" i="1"/>
  <c r="I2" i="1" s="1"/>
</calcChain>
</file>

<file path=xl/sharedStrings.xml><?xml version="1.0" encoding="utf-8"?>
<sst xmlns="http://schemas.openxmlformats.org/spreadsheetml/2006/main" count="152" uniqueCount="54">
  <si>
    <t>Patient_ID</t>
  </si>
  <si>
    <t>Age</t>
  </si>
  <si>
    <t>Gender</t>
  </si>
  <si>
    <t>Visit_Type</t>
  </si>
  <si>
    <t>Reason</t>
  </si>
  <si>
    <t>Doctor</t>
  </si>
  <si>
    <t>Date</t>
  </si>
  <si>
    <t>Follow_Up_Needed</t>
  </si>
  <si>
    <t>Referral_Category</t>
  </si>
  <si>
    <t>Data_Notes</t>
  </si>
  <si>
    <t>M</t>
  </si>
  <si>
    <t>Chronic Pain</t>
  </si>
  <si>
    <t>Dr. Omar</t>
  </si>
  <si>
    <t>2025-01-07</t>
  </si>
  <si>
    <t>YES</t>
  </si>
  <si>
    <t>F</t>
  </si>
  <si>
    <t>Follow-up Visit</t>
  </si>
  <si>
    <t>Dr. Fatima</t>
  </si>
  <si>
    <t>2025-01-05</t>
  </si>
  <si>
    <t>Migraine</t>
  </si>
  <si>
    <t>2025-01-10</t>
  </si>
  <si>
    <t>Dr. Ali</t>
  </si>
  <si>
    <t>2025-01-04</t>
  </si>
  <si>
    <t>NO</t>
  </si>
  <si>
    <t>2025-01-14</t>
  </si>
  <si>
    <t>2025-01-11</t>
  </si>
  <si>
    <t>2025-01-16</t>
  </si>
  <si>
    <t>Dr. Sara</t>
  </si>
  <si>
    <t>2025-01-13</t>
  </si>
  <si>
    <t>Seizure Follow-up</t>
  </si>
  <si>
    <t>2025-01-17</t>
  </si>
  <si>
    <t>Neuropathy</t>
  </si>
  <si>
    <t>2025-01-20</t>
  </si>
  <si>
    <t>Headache</t>
  </si>
  <si>
    <t>2025-01-19</t>
  </si>
  <si>
    <t>2025-01-08</t>
  </si>
  <si>
    <t>2025-01-03</t>
  </si>
  <si>
    <t>DAY 4.2 — STRUCTURED EXCEL OBSERVATION (READ ONLY)</t>
  </si>
  <si>
    <t>What to do:</t>
  </si>
  <si>
    <t>1. Scan each row as if it represents a real patient visit.</t>
  </si>
  <si>
    <t>2. Do NOT fix data. Do NOT use formulas.</t>
  </si>
  <si>
    <t>3. In the Data_Notes column, write short flags such as:</t>
  </si>
  <si>
    <t>- Age missing</t>
  </si>
  <si>
    <t>- Doctor name inconsistent</t>
  </si>
  <si>
    <t>- Follow-up unclear or contradictory</t>
  </si>
  <si>
    <t>- Date format inconsistent</t>
  </si>
  <si>
    <t>4. Use Sort, Filter, and Conditional Formatting ONLY to reveal issues.</t>
  </si>
  <si>
    <t>5. Save the file when finished. No renaming.</t>
  </si>
  <si>
    <t>Metric</t>
  </si>
  <si>
    <t>Average Age by Provider (Excel Replication)</t>
  </si>
  <si>
    <t>Method</t>
  </si>
  <si>
    <t>Replicated from SQL AVG(age) GROUP BY provider, without cleaning or exclusions</t>
  </si>
  <si>
    <t>Interpretive Warning</t>
  </si>
  <si>
    <t>Averages may hide age clustering, skew, and patient complexity differences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</si>
</sst>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5" displayName="Table5" ref="A1:I26" totalsRowShown="0">
  <autoFilter ref="A1:I26" xr:uid="{00000000-0009-0000-0100-000001000000}"/>
  <tableColumns count="9">
    <tableColumn id="1" xr3:uid="{00000000-0010-0000-0000-000001000000}" name="Patient_ID"/>
    <tableColumn id="2" xr3:uid="{00000000-0010-0000-0000-000002000000}" name="Age"/>
    <tableColumn id="3" xr3:uid="{00000000-0010-0000-0000-000003000000}" name="Gender"/>
    <tableColumn id="4" xr3:uid="{00000000-0010-0000-0000-000004000000}" name="Visit_Type" dataDxfId="1">
      <calculatedColumnFormula>IF(Table5[[#This Row],[Age]]&gt;=50, "Follow Up", "New Visit")</calculatedColumnFormula>
    </tableColumn>
    <tableColumn id="5" xr3:uid="{00000000-0010-0000-0000-000005000000}" name="Reason"/>
    <tableColumn id="6" xr3:uid="{00000000-0010-0000-0000-000006000000}" name="Doctor"/>
    <tableColumn id="7" xr3:uid="{00000000-0010-0000-0000-000007000000}" name="Date"/>
    <tableColumn id="8" xr3:uid="{00000000-0010-0000-0000-000008000000}" name="Follow_Up_Needed"/>
    <tableColumn id="9" xr3:uid="{00000000-0010-0000-0000-000009000000}" name="Referral_Category" dataDxfId="0">
      <calculatedColumnFormula>IF(D2="New Visit","Self","Follow-up")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opLeftCell="A4" zoomScale="115" zoomScaleNormal="115" workbookViewId="0">
      <selection activeCell="J5" sqref="J5"/>
    </sheetView>
  </sheetViews>
  <sheetFormatPr defaultRowHeight="15" x14ac:dyDescent="0.25"/>
  <cols>
    <col min="1" max="1" width="12.5703125" bestFit="1" customWidth="1"/>
    <col min="2" max="2" width="6.7109375" bestFit="1" customWidth="1"/>
    <col min="3" max="3" width="10" bestFit="1" customWidth="1"/>
    <col min="4" max="4" width="12.5703125" bestFit="1" customWidth="1"/>
    <col min="5" max="5" width="17.28515625" bestFit="1" customWidth="1"/>
    <col min="6" max="6" width="10.140625" bestFit="1" customWidth="1"/>
    <col min="7" max="7" width="11.28515625" bestFit="1" customWidth="1"/>
    <col min="8" max="8" width="21.28515625" bestFit="1" customWidth="1"/>
    <col min="9" max="9" width="19.5703125" bestFit="1" customWidth="1"/>
    <col min="10" max="10" width="1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56</v>
      </c>
      <c r="C2" t="s">
        <v>10</v>
      </c>
      <c r="D2" t="str">
        <f>IF(Table5[[#This Row],[Age]]&gt;=50, "Follow Up", "New Visit")</f>
        <v>Follow Up</v>
      </c>
      <c r="E2" t="s">
        <v>11</v>
      </c>
      <c r="F2" t="s">
        <v>12</v>
      </c>
      <c r="G2" t="s">
        <v>13</v>
      </c>
      <c r="H2" t="s">
        <v>14</v>
      </c>
      <c r="I2" t="str">
        <f t="shared" ref="I2:I26" si="0">IF(D2="New Visit","Self","Follow-up")</f>
        <v>Follow-up</v>
      </c>
    </row>
    <row r="3" spans="1:10" x14ac:dyDescent="0.25">
      <c r="A3">
        <v>2</v>
      </c>
      <c r="B3">
        <v>38</v>
      </c>
      <c r="C3" t="s">
        <v>15</v>
      </c>
      <c r="D3" t="str">
        <f>IF(Table5[[#This Row],[Age]]&gt;=50, "Follow Up", "New Visit")</f>
        <v>New Visit</v>
      </c>
      <c r="E3" t="s">
        <v>16</v>
      </c>
      <c r="F3" t="s">
        <v>17</v>
      </c>
      <c r="G3" t="s">
        <v>18</v>
      </c>
      <c r="H3" t="s">
        <v>14</v>
      </c>
      <c r="I3" t="str">
        <f t="shared" si="0"/>
        <v>Self</v>
      </c>
    </row>
    <row r="4" spans="1:10" x14ac:dyDescent="0.25">
      <c r="A4">
        <v>3</v>
      </c>
      <c r="B4">
        <v>47</v>
      </c>
      <c r="C4" t="s">
        <v>10</v>
      </c>
      <c r="D4" t="str">
        <f>IF(Table5[[#This Row],[Age]]&gt;=50, "Follow Up", "New Visit")</f>
        <v>New Visit</v>
      </c>
      <c r="E4" t="s">
        <v>19</v>
      </c>
      <c r="F4" t="s">
        <v>17</v>
      </c>
      <c r="G4" t="s">
        <v>20</v>
      </c>
      <c r="H4" t="s">
        <v>14</v>
      </c>
      <c r="I4" t="str">
        <f t="shared" si="0"/>
        <v>Self</v>
      </c>
    </row>
    <row r="5" spans="1:10" x14ac:dyDescent="0.25">
      <c r="A5">
        <v>4</v>
      </c>
      <c r="B5">
        <v>28</v>
      </c>
      <c r="C5" t="s">
        <v>15</v>
      </c>
      <c r="D5" t="str">
        <f>IF(Table5[[#This Row],[Age]]&gt;=50, "Follow Up", "New Visit")</f>
        <v>New Visit</v>
      </c>
      <c r="E5" t="s">
        <v>11</v>
      </c>
      <c r="F5" t="s">
        <v>21</v>
      </c>
      <c r="G5" t="s">
        <v>22</v>
      </c>
      <c r="H5" t="s">
        <v>23</v>
      </c>
      <c r="I5" t="str">
        <f t="shared" si="0"/>
        <v>Self</v>
      </c>
    </row>
    <row r="6" spans="1:10" x14ac:dyDescent="0.25">
      <c r="A6">
        <v>5</v>
      </c>
      <c r="B6">
        <v>48</v>
      </c>
      <c r="C6" t="s">
        <v>15</v>
      </c>
      <c r="D6" t="str">
        <f>IF(Table5[[#This Row],[Age]]&gt;=50, "Follow Up", "New Visit")</f>
        <v>New Visit</v>
      </c>
      <c r="E6" t="s">
        <v>19</v>
      </c>
      <c r="F6" t="s">
        <v>17</v>
      </c>
      <c r="G6" t="s">
        <v>24</v>
      </c>
      <c r="H6" t="s">
        <v>23</v>
      </c>
      <c r="I6" t="str">
        <f t="shared" si="0"/>
        <v>Self</v>
      </c>
    </row>
    <row r="7" spans="1:10" x14ac:dyDescent="0.25">
      <c r="A7">
        <v>6</v>
      </c>
      <c r="B7">
        <v>52</v>
      </c>
      <c r="C7" t="s">
        <v>10</v>
      </c>
      <c r="D7" t="str">
        <f>IF(Table5[[#This Row],[Age]]&gt;=50, "Follow Up", "New Visit")</f>
        <v>Follow Up</v>
      </c>
      <c r="E7" t="s">
        <v>11</v>
      </c>
      <c r="F7" t="s">
        <v>17</v>
      </c>
      <c r="G7" t="s">
        <v>25</v>
      </c>
      <c r="H7" t="s">
        <v>14</v>
      </c>
      <c r="I7" t="str">
        <f t="shared" si="0"/>
        <v>Follow-up</v>
      </c>
    </row>
    <row r="8" spans="1:10" x14ac:dyDescent="0.25">
      <c r="A8">
        <v>7</v>
      </c>
      <c r="B8">
        <v>51</v>
      </c>
      <c r="C8" t="s">
        <v>10</v>
      </c>
      <c r="D8" t="str">
        <f>IF(Table5[[#This Row],[Age]]&gt;=50, "Follow Up", "New Visit")</f>
        <v>Follow Up</v>
      </c>
      <c r="E8" t="s">
        <v>19</v>
      </c>
      <c r="F8" t="s">
        <v>21</v>
      </c>
      <c r="G8" t="s">
        <v>26</v>
      </c>
      <c r="H8" t="s">
        <v>14</v>
      </c>
      <c r="I8" t="str">
        <f t="shared" si="0"/>
        <v>Follow-up</v>
      </c>
    </row>
    <row r="9" spans="1:10" x14ac:dyDescent="0.25">
      <c r="A9">
        <v>8</v>
      </c>
      <c r="B9">
        <v>39</v>
      </c>
      <c r="C9" t="s">
        <v>10</v>
      </c>
      <c r="D9" t="str">
        <f>IF(Table5[[#This Row],[Age]]&gt;=50, "Follow Up", "New Visit")</f>
        <v>New Visit</v>
      </c>
      <c r="E9" t="s">
        <v>11</v>
      </c>
      <c r="F9" t="s">
        <v>27</v>
      </c>
      <c r="G9" t="s">
        <v>28</v>
      </c>
      <c r="H9" t="s">
        <v>14</v>
      </c>
      <c r="I9" t="str">
        <f t="shared" si="0"/>
        <v>Self</v>
      </c>
    </row>
    <row r="10" spans="1:10" x14ac:dyDescent="0.25">
      <c r="A10">
        <v>9</v>
      </c>
      <c r="B10">
        <v>60</v>
      </c>
      <c r="C10" t="s">
        <v>15</v>
      </c>
      <c r="D10" t="str">
        <f>IF(Table5[[#This Row],[Age]]&gt;=50, "Follow Up", "New Visit")</f>
        <v>Follow Up</v>
      </c>
      <c r="E10" t="s">
        <v>29</v>
      </c>
      <c r="F10" t="s">
        <v>21</v>
      </c>
      <c r="G10" t="s">
        <v>28</v>
      </c>
      <c r="H10" t="s">
        <v>23</v>
      </c>
      <c r="I10" t="str">
        <f t="shared" si="0"/>
        <v>Follow-up</v>
      </c>
    </row>
    <row r="11" spans="1:10" x14ac:dyDescent="0.25">
      <c r="A11">
        <v>10</v>
      </c>
      <c r="B11">
        <v>52</v>
      </c>
      <c r="C11" t="s">
        <v>15</v>
      </c>
      <c r="D11" t="str">
        <f>IF(Table5[[#This Row],[Age]]&gt;=50, "Follow Up", "New Visit")</f>
        <v>Follow Up</v>
      </c>
      <c r="E11" t="s">
        <v>29</v>
      </c>
      <c r="F11" t="s">
        <v>27</v>
      </c>
      <c r="G11" t="s">
        <v>30</v>
      </c>
      <c r="H11" t="s">
        <v>14</v>
      </c>
      <c r="I11" t="str">
        <f t="shared" si="0"/>
        <v>Follow-up</v>
      </c>
    </row>
    <row r="12" spans="1:10" x14ac:dyDescent="0.25">
      <c r="A12">
        <v>11</v>
      </c>
      <c r="B12">
        <v>57</v>
      </c>
      <c r="C12" t="s">
        <v>15</v>
      </c>
      <c r="D12" t="str">
        <f>IF(Table5[[#This Row],[Age]]&gt;=50, "Follow Up", "New Visit")</f>
        <v>Follow Up</v>
      </c>
      <c r="E12" t="s">
        <v>16</v>
      </c>
      <c r="F12" t="s">
        <v>17</v>
      </c>
      <c r="G12" t="s">
        <v>26</v>
      </c>
      <c r="H12" t="s">
        <v>23</v>
      </c>
      <c r="I12" t="str">
        <f t="shared" si="0"/>
        <v>Follow-up</v>
      </c>
    </row>
    <row r="13" spans="1:10" x14ac:dyDescent="0.25">
      <c r="A13">
        <v>12</v>
      </c>
      <c r="B13">
        <v>53</v>
      </c>
      <c r="C13" t="s">
        <v>10</v>
      </c>
      <c r="D13" t="str">
        <f>IF(Table5[[#This Row],[Age]]&gt;=50, "Follow Up", "New Visit")</f>
        <v>Follow Up</v>
      </c>
      <c r="E13" t="s">
        <v>31</v>
      </c>
      <c r="F13" t="s">
        <v>21</v>
      </c>
      <c r="G13" t="s">
        <v>24</v>
      </c>
      <c r="H13" t="s">
        <v>14</v>
      </c>
      <c r="I13" t="str">
        <f t="shared" si="0"/>
        <v>Follow-up</v>
      </c>
    </row>
    <row r="14" spans="1:10" x14ac:dyDescent="0.25">
      <c r="A14">
        <v>13</v>
      </c>
      <c r="B14">
        <v>42</v>
      </c>
      <c r="C14" t="s">
        <v>10</v>
      </c>
      <c r="D14" t="str">
        <f>IF(Table5[[#This Row],[Age]]&gt;=50, "Follow Up", "New Visit")</f>
        <v>New Visit</v>
      </c>
      <c r="E14" t="s">
        <v>19</v>
      </c>
      <c r="F14" t="s">
        <v>27</v>
      </c>
      <c r="G14" t="s">
        <v>30</v>
      </c>
      <c r="H14" t="s">
        <v>14</v>
      </c>
      <c r="I14" t="str">
        <f t="shared" si="0"/>
        <v>Self</v>
      </c>
    </row>
    <row r="15" spans="1:10" x14ac:dyDescent="0.25">
      <c r="A15">
        <v>14</v>
      </c>
      <c r="B15">
        <v>53</v>
      </c>
      <c r="C15" t="s">
        <v>15</v>
      </c>
      <c r="D15" t="str">
        <f>IF(Table5[[#This Row],[Age]]&gt;=50, "Follow Up", "New Visit")</f>
        <v>Follow Up</v>
      </c>
      <c r="E15" t="s">
        <v>31</v>
      </c>
      <c r="F15" t="s">
        <v>17</v>
      </c>
      <c r="G15" t="s">
        <v>18</v>
      </c>
      <c r="H15" t="s">
        <v>14</v>
      </c>
      <c r="I15" t="str">
        <f t="shared" si="0"/>
        <v>Follow-up</v>
      </c>
    </row>
    <row r="16" spans="1:10" x14ac:dyDescent="0.25">
      <c r="A16">
        <v>15</v>
      </c>
      <c r="B16">
        <v>31</v>
      </c>
      <c r="C16" t="s">
        <v>15</v>
      </c>
      <c r="D16" t="str">
        <f>IF(Table5[[#This Row],[Age]]&gt;=50, "Follow Up", "New Visit")</f>
        <v>New Visit</v>
      </c>
      <c r="E16" t="s">
        <v>31</v>
      </c>
      <c r="F16" t="s">
        <v>17</v>
      </c>
      <c r="G16" t="s">
        <v>30</v>
      </c>
      <c r="H16" t="s">
        <v>23</v>
      </c>
      <c r="I16" t="str">
        <f t="shared" si="0"/>
        <v>Self</v>
      </c>
    </row>
    <row r="17" spans="1:9" x14ac:dyDescent="0.25">
      <c r="A17">
        <v>16</v>
      </c>
      <c r="B17">
        <v>68</v>
      </c>
      <c r="C17" t="s">
        <v>15</v>
      </c>
      <c r="D17" t="str">
        <f>IF(Table5[[#This Row],[Age]]&gt;=50, "Follow Up", "New Visit")</f>
        <v>Follow Up</v>
      </c>
      <c r="E17" t="s">
        <v>31</v>
      </c>
      <c r="F17" t="s">
        <v>12</v>
      </c>
      <c r="G17" t="s">
        <v>32</v>
      </c>
      <c r="H17" t="s">
        <v>14</v>
      </c>
      <c r="I17" t="str">
        <f t="shared" si="0"/>
        <v>Follow-up</v>
      </c>
    </row>
    <row r="18" spans="1:9" x14ac:dyDescent="0.25">
      <c r="A18">
        <v>17</v>
      </c>
      <c r="B18">
        <v>55</v>
      </c>
      <c r="C18" t="s">
        <v>10</v>
      </c>
      <c r="D18" t="str">
        <f>IF(Table5[[#This Row],[Age]]&gt;=50, "Follow Up", "New Visit")</f>
        <v>Follow Up</v>
      </c>
      <c r="E18" t="s">
        <v>31</v>
      </c>
      <c r="F18" t="s">
        <v>27</v>
      </c>
      <c r="G18" t="s">
        <v>13</v>
      </c>
      <c r="H18" t="s">
        <v>14</v>
      </c>
      <c r="I18" t="str">
        <f t="shared" si="0"/>
        <v>Follow-up</v>
      </c>
    </row>
    <row r="19" spans="1:9" x14ac:dyDescent="0.25">
      <c r="A19">
        <v>18</v>
      </c>
      <c r="B19">
        <v>45</v>
      </c>
      <c r="C19" t="s">
        <v>10</v>
      </c>
      <c r="D19" t="str">
        <f>IF(Table5[[#This Row],[Age]]&gt;=50, "Follow Up", "New Visit")</f>
        <v>New Visit</v>
      </c>
      <c r="E19" t="s">
        <v>33</v>
      </c>
      <c r="F19" t="s">
        <v>27</v>
      </c>
      <c r="G19" t="s">
        <v>34</v>
      </c>
      <c r="H19" t="s">
        <v>23</v>
      </c>
      <c r="I19" t="str">
        <f t="shared" si="0"/>
        <v>Self</v>
      </c>
    </row>
    <row r="20" spans="1:9" x14ac:dyDescent="0.25">
      <c r="A20">
        <v>19</v>
      </c>
      <c r="B20">
        <v>58</v>
      </c>
      <c r="C20" t="s">
        <v>10</v>
      </c>
      <c r="D20" t="str">
        <f>IF(Table5[[#This Row],[Age]]&gt;=50, "Follow Up", "New Visit")</f>
        <v>Follow Up</v>
      </c>
      <c r="E20" t="s">
        <v>33</v>
      </c>
      <c r="F20" t="s">
        <v>21</v>
      </c>
      <c r="G20" t="s">
        <v>25</v>
      </c>
      <c r="H20" t="s">
        <v>23</v>
      </c>
      <c r="I20" t="str">
        <f t="shared" si="0"/>
        <v>Follow-up</v>
      </c>
    </row>
    <row r="21" spans="1:9" x14ac:dyDescent="0.25">
      <c r="A21">
        <v>20</v>
      </c>
      <c r="B21">
        <v>53</v>
      </c>
      <c r="C21" t="s">
        <v>15</v>
      </c>
      <c r="D21" t="str">
        <f>IF(Table5[[#This Row],[Age]]&gt;=50, "Follow Up", "New Visit")</f>
        <v>Follow Up</v>
      </c>
      <c r="E21" t="s">
        <v>31</v>
      </c>
      <c r="F21" t="s">
        <v>27</v>
      </c>
      <c r="G21" t="s">
        <v>35</v>
      </c>
      <c r="H21" t="s">
        <v>23</v>
      </c>
      <c r="I21" t="str">
        <f t="shared" si="0"/>
        <v>Follow-up</v>
      </c>
    </row>
    <row r="22" spans="1:9" x14ac:dyDescent="0.25">
      <c r="A22">
        <v>21</v>
      </c>
      <c r="B22">
        <v>46</v>
      </c>
      <c r="C22" t="s">
        <v>10</v>
      </c>
      <c r="D22" t="str">
        <f>IF(Table5[[#This Row],[Age]]&gt;=50, "Follow Up", "New Visit")</f>
        <v>New Visit</v>
      </c>
      <c r="E22" t="s">
        <v>11</v>
      </c>
      <c r="F22" t="s">
        <v>12</v>
      </c>
      <c r="G22" t="s">
        <v>25</v>
      </c>
      <c r="H22" t="s">
        <v>14</v>
      </c>
      <c r="I22" t="str">
        <f t="shared" si="0"/>
        <v>Self</v>
      </c>
    </row>
    <row r="23" spans="1:9" x14ac:dyDescent="0.25">
      <c r="A23">
        <v>22</v>
      </c>
      <c r="B23">
        <v>34</v>
      </c>
      <c r="C23" t="s">
        <v>15</v>
      </c>
      <c r="D23" t="str">
        <f>IF(Table5[[#This Row],[Age]]&gt;=50, "Follow Up", "New Visit")</f>
        <v>New Visit</v>
      </c>
      <c r="E23" t="s">
        <v>33</v>
      </c>
      <c r="F23" t="s">
        <v>17</v>
      </c>
      <c r="G23" t="s">
        <v>34</v>
      </c>
      <c r="H23" t="s">
        <v>23</v>
      </c>
      <c r="I23" t="str">
        <f t="shared" si="0"/>
        <v>Self</v>
      </c>
    </row>
    <row r="24" spans="1:9" x14ac:dyDescent="0.25">
      <c r="A24">
        <v>23</v>
      </c>
      <c r="B24">
        <v>59</v>
      </c>
      <c r="C24" t="s">
        <v>15</v>
      </c>
      <c r="D24" t="str">
        <f>IF(Table5[[#This Row],[Age]]&gt;=50, "Follow Up", "New Visit")</f>
        <v>Follow Up</v>
      </c>
      <c r="E24" t="s">
        <v>19</v>
      </c>
      <c r="F24" t="s">
        <v>17</v>
      </c>
      <c r="G24" t="s">
        <v>25</v>
      </c>
      <c r="H24" t="s">
        <v>14</v>
      </c>
      <c r="I24" t="str">
        <f t="shared" si="0"/>
        <v>Follow-up</v>
      </c>
    </row>
    <row r="25" spans="1:9" x14ac:dyDescent="0.25">
      <c r="A25">
        <v>24</v>
      </c>
      <c r="B25">
        <v>28</v>
      </c>
      <c r="C25" t="s">
        <v>15</v>
      </c>
      <c r="D25" t="str">
        <f>IF(Table5[[#This Row],[Age]]&gt;=50, "Follow Up", "New Visit")</f>
        <v>New Visit</v>
      </c>
      <c r="E25" t="s">
        <v>29</v>
      </c>
      <c r="F25" t="s">
        <v>27</v>
      </c>
      <c r="G25" t="s">
        <v>36</v>
      </c>
      <c r="H25" t="s">
        <v>14</v>
      </c>
      <c r="I25" t="str">
        <f t="shared" si="0"/>
        <v>Self</v>
      </c>
    </row>
    <row r="26" spans="1:9" x14ac:dyDescent="0.25">
      <c r="A26">
        <v>25</v>
      </c>
      <c r="B26">
        <v>58</v>
      </c>
      <c r="C26" t="s">
        <v>15</v>
      </c>
      <c r="D26" t="str">
        <f>IF(Table5[[#This Row],[Age]]&gt;=50, "Follow Up", "New Visit")</f>
        <v>Follow Up</v>
      </c>
      <c r="E26" t="s">
        <v>11</v>
      </c>
      <c r="F26" t="s">
        <v>12</v>
      </c>
      <c r="G26" t="s">
        <v>20</v>
      </c>
      <c r="H26" t="s">
        <v>23</v>
      </c>
      <c r="I26" t="str">
        <f t="shared" si="0"/>
        <v>Follow-up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5" x14ac:dyDescent="0.25"/>
  <cols>
    <col min="1" max="1" width="62.85546875" bestFit="1" customWidth="1"/>
  </cols>
  <sheetData>
    <row r="1" spans="1:1" x14ac:dyDescent="0.25">
      <c r="A1" t="s">
        <v>37</v>
      </c>
    </row>
    <row r="3" spans="1:1" x14ac:dyDescent="0.25">
      <c r="A3" t="s">
        <v>38</v>
      </c>
    </row>
    <row r="4" spans="1:1" x14ac:dyDescent="0.25">
      <c r="A4" t="s">
        <v>39</v>
      </c>
    </row>
    <row r="5" spans="1:1" x14ac:dyDescent="0.25">
      <c r="A5" t="s">
        <v>40</v>
      </c>
    </row>
    <row r="6" spans="1:1" x14ac:dyDescent="0.25">
      <c r="A6" t="s">
        <v>41</v>
      </c>
    </row>
    <row r="7" spans="1:1" x14ac:dyDescent="0.25">
      <c r="A7" t="s">
        <v>42</v>
      </c>
    </row>
    <row r="8" spans="1:1" x14ac:dyDescent="0.25">
      <c r="A8" t="s">
        <v>43</v>
      </c>
    </row>
    <row r="9" spans="1:1" x14ac:dyDescent="0.25">
      <c r="A9" t="s">
        <v>44</v>
      </c>
    </row>
    <row r="10" spans="1:1" x14ac:dyDescent="0.25">
      <c r="A10" t="s">
        <v>45</v>
      </c>
    </row>
    <row r="12" spans="1:1" x14ac:dyDescent="0.25">
      <c r="A12" t="s">
        <v>46</v>
      </c>
    </row>
    <row r="13" spans="1:1" x14ac:dyDescent="0.25">
      <c r="A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tabSelected="1" workbookViewId="0">
      <selection activeCell="B10" sqref="B10"/>
    </sheetView>
  </sheetViews>
  <sheetFormatPr defaultRowHeight="15" x14ac:dyDescent="0.25"/>
  <cols>
    <col min="1" max="1" width="19.85546875" bestFit="1" customWidth="1"/>
    <col min="2" max="2" width="75" bestFit="1" customWidth="1"/>
  </cols>
  <sheetData>
    <row r="1" spans="1:2" x14ac:dyDescent="0.25">
      <c r="A1" t="s">
        <v>48</v>
      </c>
      <c r="B1" t="s">
        <v>49</v>
      </c>
    </row>
    <row r="3" spans="1:2" x14ac:dyDescent="0.25">
      <c r="A3" t="s">
        <v>50</v>
      </c>
      <c r="B3" t="s">
        <v>51</v>
      </c>
    </row>
    <row r="5" spans="1:2" x14ac:dyDescent="0.25">
      <c r="A5" t="s">
        <v>52</v>
      </c>
      <c r="B5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OPD_Visits</vt:lpstr>
      <vt:lpstr>Day4_2_Instructions</vt:lpstr>
      <vt:lpstr>Avg_Age_By_Provider_Excel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Kashif</cp:lastModifiedBy>
  <dcterms:created xsi:type="dcterms:W3CDTF">2025-12-19T14:46:51Z</dcterms:created>
  <dcterms:modified xsi:type="dcterms:W3CDTF">2026-01-14T17:05:23Z</dcterms:modified>
</cp:coreProperties>
</file>